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lab11.IOBM-STD\Desktop\"/>
    </mc:Choice>
  </mc:AlternateContent>
  <xr:revisionPtr revIDLastSave="0" documentId="8_{757B107B-C78E-4D02-810C-7EF75365B12E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Paper A" sheetId="1" r:id="rId1"/>
    <sheet name="Paper B" sheetId="2" r:id="rId2"/>
    <sheet name="Paper C" sheetId="3" r:id="rId3"/>
  </sheets>
  <calcPr calcId="191029"/>
</workbook>
</file>

<file path=xl/calcChain.xml><?xml version="1.0" encoding="utf-8"?>
<calcChain xmlns="http://schemas.openxmlformats.org/spreadsheetml/2006/main">
  <c r="J2" i="2" l="1"/>
  <c r="A13" i="2" s="1"/>
  <c r="I2" i="2"/>
  <c r="H2" i="2"/>
  <c r="G3" i="2"/>
  <c r="G4" i="2"/>
  <c r="G5" i="2"/>
  <c r="G6" i="2"/>
  <c r="G7" i="2"/>
  <c r="G8" i="2"/>
  <c r="G9" i="2"/>
  <c r="G10" i="2"/>
  <c r="G11" i="2"/>
  <c r="G2" i="2"/>
</calcChain>
</file>

<file path=xl/sharedStrings.xml><?xml version="1.0" encoding="utf-8"?>
<sst xmlns="http://schemas.openxmlformats.org/spreadsheetml/2006/main" count="120" uniqueCount="85">
  <si>
    <t>ID</t>
  </si>
  <si>
    <t>Name</t>
  </si>
  <si>
    <t>Dept</t>
  </si>
  <si>
    <t>Marks</t>
  </si>
  <si>
    <t>Attendance</t>
  </si>
  <si>
    <t>S01</t>
  </si>
  <si>
    <t>Ali</t>
  </si>
  <si>
    <t>CS</t>
  </si>
  <si>
    <t>S02</t>
  </si>
  <si>
    <t>Sara</t>
  </si>
  <si>
    <t>IT</t>
  </si>
  <si>
    <t>S03</t>
  </si>
  <si>
    <t>Ahmed</t>
  </si>
  <si>
    <t>S04</t>
  </si>
  <si>
    <t>Hina</t>
  </si>
  <si>
    <t>SE</t>
  </si>
  <si>
    <t>S05</t>
  </si>
  <si>
    <t>Bilal</t>
  </si>
  <si>
    <t>S06</t>
  </si>
  <si>
    <t>Areeba</t>
  </si>
  <si>
    <t>S07</t>
  </si>
  <si>
    <t>Usman</t>
  </si>
  <si>
    <t>S08</t>
  </si>
  <si>
    <t>Zara</t>
  </si>
  <si>
    <t>S09</t>
  </si>
  <si>
    <t>Hamza</t>
  </si>
  <si>
    <t>S10</t>
  </si>
  <si>
    <t>Noor</t>
  </si>
  <si>
    <t>ProductID</t>
  </si>
  <si>
    <t>Product</t>
  </si>
  <si>
    <t>Category</t>
  </si>
  <si>
    <t>Price</t>
  </si>
  <si>
    <t>Quantity</t>
  </si>
  <si>
    <t>P01</t>
  </si>
  <si>
    <t>Mouse</t>
  </si>
  <si>
    <t>P02</t>
  </si>
  <si>
    <t>Keyboard</t>
  </si>
  <si>
    <t>P03</t>
  </si>
  <si>
    <t>Chair</t>
  </si>
  <si>
    <t>Furniture</t>
  </si>
  <si>
    <t>P04</t>
  </si>
  <si>
    <t>Desk</t>
  </si>
  <si>
    <t>P05</t>
  </si>
  <si>
    <t>Laptop</t>
  </si>
  <si>
    <t>P06</t>
  </si>
  <si>
    <t>Monitor</t>
  </si>
  <si>
    <t>P07</t>
  </si>
  <si>
    <t>Table</t>
  </si>
  <si>
    <t>P08</t>
  </si>
  <si>
    <t>Printer</t>
  </si>
  <si>
    <t>P09</t>
  </si>
  <si>
    <t>Sofa</t>
  </si>
  <si>
    <t>P10</t>
  </si>
  <si>
    <t>Headphones</t>
  </si>
  <si>
    <t>EmpID</t>
  </si>
  <si>
    <t>Salary</t>
  </si>
  <si>
    <t>Experience</t>
  </si>
  <si>
    <t>E01</t>
  </si>
  <si>
    <t>Ayesha</t>
  </si>
  <si>
    <t>HR</t>
  </si>
  <si>
    <t>E02</t>
  </si>
  <si>
    <t>E03</t>
  </si>
  <si>
    <t>Zain</t>
  </si>
  <si>
    <t>E04</t>
  </si>
  <si>
    <t>E05</t>
  </si>
  <si>
    <t>Finance</t>
  </si>
  <si>
    <t>E06</t>
  </si>
  <si>
    <t>E07</t>
  </si>
  <si>
    <t>E08</t>
  </si>
  <si>
    <t>E09</t>
  </si>
  <si>
    <t>E10</t>
  </si>
  <si>
    <t>Zoya</t>
  </si>
  <si>
    <t>discount</t>
  </si>
  <si>
    <t>Itcategory</t>
  </si>
  <si>
    <t>Average</t>
  </si>
  <si>
    <t>Column1</t>
  </si>
  <si>
    <t>Column2</t>
  </si>
  <si>
    <t>Column3</t>
  </si>
  <si>
    <t>Column4</t>
  </si>
  <si>
    <t>Column5</t>
  </si>
  <si>
    <t>PRODUCT</t>
  </si>
  <si>
    <t>MOUSE</t>
  </si>
  <si>
    <t>KEYBOARD</t>
  </si>
  <si>
    <t>CHAIR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</si>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</sst>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AB882-7BDA-4C3F-BFD4-D428E6E09064}" name="Table1" displayName="Table1" ref="B19:F20" totalsRowShown="0">
  <autoFilter ref="B19:F20" xr:uid="{E0D7FA4D-A0AB-4CDD-B044-03B0DE49A298}"/>
  <sortState ref="B19:F19">
    <sortCondition ref="B19:B20"/>
  </sortState>
  <tableColumns count="5">
    <tableColumn id="1" xr3:uid="{FF51BA6B-5901-4C80-B5C2-C1C2F810F16D}" name="Column1"/>
    <tableColumn id="2" xr3:uid="{4CBE7962-5DAF-4BE2-981E-ABE63E34C6AF}" name="Column2"/>
    <tableColumn id="3" xr3:uid="{7D32980C-78AB-4621-B92C-5F3B85228773}" name="Column3"/>
    <tableColumn id="4" xr3:uid="{F5664D71-A887-4FE5-85B4-0DB6B8C79971}" name="Column4"/>
    <tableColumn id="5" xr3:uid="{F0BEBB3E-8F4E-468A-823A-FDCBC31FC550}" name="Column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0D96D2-ACDD-420E-8EE6-01EB510D2259}" name="Table2" displayName="Table2" ref="F26:G27" insertRow="1" totalsRowShown="0">
  <autoFilter ref="F26:G27" xr:uid="{A7821BD3-F95D-455F-91FF-AEE9FB1D0FA9}"/>
  <tableColumns count="2">
    <tableColumn id="1" xr3:uid="{B4C516C6-8DEE-47B7-B23C-331213037A35}" name="Column1"/>
    <tableColumn id="2" xr3:uid="{74E97F40-91B2-4AAF-9CD0-D8A2CAFDABC1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78</v>
      </c>
      <c r="E2">
        <v>85</v>
      </c>
    </row>
    <row r="3" spans="1:5" x14ac:dyDescent="0.25">
      <c r="A3" t="s">
        <v>8</v>
      </c>
      <c r="B3" t="s">
        <v>9</v>
      </c>
      <c r="C3" t="s">
        <v>10</v>
      </c>
      <c r="D3">
        <v>65</v>
      </c>
      <c r="E3">
        <v>72</v>
      </c>
    </row>
    <row r="4" spans="1:5" x14ac:dyDescent="0.25">
      <c r="A4" t="s">
        <v>11</v>
      </c>
      <c r="B4" t="s">
        <v>12</v>
      </c>
      <c r="C4" t="s">
        <v>7</v>
      </c>
      <c r="D4">
        <v>88</v>
      </c>
      <c r="E4">
        <v>90</v>
      </c>
    </row>
    <row r="5" spans="1:5" x14ac:dyDescent="0.25">
      <c r="A5" t="s">
        <v>13</v>
      </c>
      <c r="B5" t="s">
        <v>14</v>
      </c>
      <c r="C5" t="s">
        <v>15</v>
      </c>
      <c r="D5">
        <v>55</v>
      </c>
      <c r="E5">
        <v>60</v>
      </c>
    </row>
    <row r="6" spans="1:5" x14ac:dyDescent="0.25">
      <c r="A6" t="s">
        <v>16</v>
      </c>
      <c r="B6" t="s">
        <v>17</v>
      </c>
      <c r="C6" t="s">
        <v>10</v>
      </c>
      <c r="D6">
        <v>92</v>
      </c>
      <c r="E6">
        <v>95</v>
      </c>
    </row>
    <row r="7" spans="1:5" x14ac:dyDescent="0.25">
      <c r="A7" t="s">
        <v>18</v>
      </c>
      <c r="B7" t="s">
        <v>19</v>
      </c>
      <c r="C7" t="s">
        <v>7</v>
      </c>
      <c r="D7">
        <v>81</v>
      </c>
      <c r="E7">
        <v>88</v>
      </c>
    </row>
    <row r="8" spans="1:5" x14ac:dyDescent="0.25">
      <c r="A8" t="s">
        <v>20</v>
      </c>
      <c r="B8" t="s">
        <v>21</v>
      </c>
      <c r="C8" t="s">
        <v>15</v>
      </c>
      <c r="D8">
        <v>49</v>
      </c>
      <c r="E8">
        <v>55</v>
      </c>
    </row>
    <row r="9" spans="1:5" x14ac:dyDescent="0.25">
      <c r="A9" t="s">
        <v>22</v>
      </c>
      <c r="B9" t="s">
        <v>23</v>
      </c>
      <c r="C9" t="s">
        <v>10</v>
      </c>
      <c r="D9">
        <v>73</v>
      </c>
      <c r="E9">
        <v>80</v>
      </c>
    </row>
    <row r="10" spans="1:5" x14ac:dyDescent="0.25">
      <c r="A10" t="s">
        <v>24</v>
      </c>
      <c r="B10" t="s">
        <v>25</v>
      </c>
      <c r="C10" t="s">
        <v>7</v>
      </c>
      <c r="D10">
        <v>67</v>
      </c>
      <c r="E10">
        <v>70</v>
      </c>
    </row>
    <row r="11" spans="1:5" x14ac:dyDescent="0.25">
      <c r="A11" t="s">
        <v>26</v>
      </c>
      <c r="B11" t="s">
        <v>27</v>
      </c>
      <c r="C11" t="s">
        <v>15</v>
      </c>
      <c r="D11">
        <v>90</v>
      </c>
      <c r="E11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workbookViewId="0">
      <selection activeCell="G20" sqref="G20"/>
    </sheetView>
  </sheetViews>
  <sheetFormatPr defaultRowHeight="15" x14ac:dyDescent="0.25"/>
  <cols>
    <col min="2" max="2" width="11" customWidth="1"/>
    <col min="6" max="7" width="11" customWidth="1"/>
  </cols>
  <sheetData>
    <row r="1" spans="1:10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G1" t="s">
        <v>72</v>
      </c>
      <c r="H1" t="s">
        <v>73</v>
      </c>
      <c r="I1" t="s">
        <v>74</v>
      </c>
    </row>
    <row r="2" spans="1:10" x14ac:dyDescent="0.25">
      <c r="A2" t="s">
        <v>33</v>
      </c>
      <c r="B2" t="s">
        <v>34</v>
      </c>
      <c r="C2" t="s">
        <v>10</v>
      </c>
      <c r="D2">
        <v>500</v>
      </c>
      <c r="E2">
        <v>10</v>
      </c>
      <c r="G2" t="str">
        <f>IF(AND(D2&gt;5000,E2&gt;=2),"Yes","No")</f>
        <v>No</v>
      </c>
      <c r="H2">
        <f>COUNTIF(C2:C11,"IT")</f>
        <v>6</v>
      </c>
      <c r="I2">
        <f>AVERAGEIF(C2:C11,"Furniture",D2:D11)</f>
        <v>11125</v>
      </c>
      <c r="J2" t="e">
        <f>DGET(A1:E11,4,J1:K2)</f>
        <v>#VALUE!</v>
      </c>
    </row>
    <row r="3" spans="1:10" x14ac:dyDescent="0.25">
      <c r="A3" t="s">
        <v>35</v>
      </c>
      <c r="B3" t="s">
        <v>36</v>
      </c>
      <c r="C3" t="s">
        <v>10</v>
      </c>
      <c r="D3">
        <v>1200</v>
      </c>
      <c r="E3">
        <v>5</v>
      </c>
      <c r="G3" t="str">
        <f t="shared" ref="G3:G11" si="0">IF(AND(D3&gt;5000,E3&gt;=2),"Yes","No")</f>
        <v>No</v>
      </c>
    </row>
    <row r="4" spans="1:10" x14ac:dyDescent="0.25">
      <c r="A4" t="s">
        <v>37</v>
      </c>
      <c r="B4" t="s">
        <v>38</v>
      </c>
      <c r="C4" t="s">
        <v>39</v>
      </c>
      <c r="D4">
        <v>4500</v>
      </c>
      <c r="E4">
        <v>2</v>
      </c>
      <c r="G4" t="str">
        <f t="shared" si="0"/>
        <v>No</v>
      </c>
    </row>
    <row r="5" spans="1:10" x14ac:dyDescent="0.25">
      <c r="A5" t="s">
        <v>40</v>
      </c>
      <c r="B5" t="s">
        <v>41</v>
      </c>
      <c r="C5" t="s">
        <v>39</v>
      </c>
      <c r="D5">
        <v>8000</v>
      </c>
      <c r="E5">
        <v>1</v>
      </c>
      <c r="G5" t="str">
        <f t="shared" si="0"/>
        <v>No</v>
      </c>
    </row>
    <row r="6" spans="1:10" x14ac:dyDescent="0.25">
      <c r="A6" t="s">
        <v>42</v>
      </c>
      <c r="B6" t="s">
        <v>43</v>
      </c>
      <c r="C6" t="s">
        <v>10</v>
      </c>
      <c r="D6">
        <v>90000</v>
      </c>
      <c r="E6">
        <v>3</v>
      </c>
      <c r="G6" t="str">
        <f t="shared" si="0"/>
        <v>Yes</v>
      </c>
    </row>
    <row r="7" spans="1:10" x14ac:dyDescent="0.25">
      <c r="A7" t="s">
        <v>44</v>
      </c>
      <c r="B7" t="s">
        <v>45</v>
      </c>
      <c r="C7" t="s">
        <v>10</v>
      </c>
      <c r="D7">
        <v>15000</v>
      </c>
      <c r="E7">
        <v>4</v>
      </c>
      <c r="G7" t="str">
        <f t="shared" si="0"/>
        <v>Yes</v>
      </c>
    </row>
    <row r="8" spans="1:10" x14ac:dyDescent="0.25">
      <c r="A8" t="s">
        <v>46</v>
      </c>
      <c r="B8" t="s">
        <v>47</v>
      </c>
      <c r="C8" t="s">
        <v>39</v>
      </c>
      <c r="D8">
        <v>7000</v>
      </c>
      <c r="E8">
        <v>2</v>
      </c>
      <c r="G8" t="str">
        <f t="shared" si="0"/>
        <v>Yes</v>
      </c>
    </row>
    <row r="9" spans="1:10" x14ac:dyDescent="0.25">
      <c r="A9" t="s">
        <v>48</v>
      </c>
      <c r="B9" t="s">
        <v>49</v>
      </c>
      <c r="C9" t="s">
        <v>10</v>
      </c>
      <c r="D9">
        <v>20000</v>
      </c>
      <c r="E9">
        <v>1</v>
      </c>
      <c r="G9" t="str">
        <f t="shared" si="0"/>
        <v>No</v>
      </c>
    </row>
    <row r="10" spans="1:10" x14ac:dyDescent="0.25">
      <c r="A10" t="s">
        <v>50</v>
      </c>
      <c r="B10" t="s">
        <v>51</v>
      </c>
      <c r="C10" t="s">
        <v>39</v>
      </c>
      <c r="D10">
        <v>25000</v>
      </c>
      <c r="E10">
        <v>1</v>
      </c>
      <c r="G10" t="str">
        <f t="shared" si="0"/>
        <v>No</v>
      </c>
    </row>
    <row r="11" spans="1:10" x14ac:dyDescent="0.25">
      <c r="A11" t="s">
        <v>52</v>
      </c>
      <c r="B11" t="s">
        <v>53</v>
      </c>
      <c r="C11" t="s">
        <v>10</v>
      </c>
      <c r="D11">
        <v>3000</v>
      </c>
      <c r="E11">
        <v>6</v>
      </c>
      <c r="G11" t="str">
        <f t="shared" si="0"/>
        <v>No</v>
      </c>
    </row>
    <row r="13" spans="1:10" x14ac:dyDescent="0.25">
      <c r="A13" t="e">
        <f>HLOOKUP("LAPTOP",B2:K11,3,FALSE)</f>
        <v>#N/A</v>
      </c>
    </row>
    <row r="19" spans="2:7" x14ac:dyDescent="0.25">
      <c r="B19" t="s">
        <v>75</v>
      </c>
      <c r="C19" t="s">
        <v>76</v>
      </c>
      <c r="D19" t="s">
        <v>77</v>
      </c>
      <c r="E19" t="s">
        <v>78</v>
      </c>
      <c r="F19" t="s">
        <v>79</v>
      </c>
    </row>
    <row r="20" spans="2:7" x14ac:dyDescent="0.25"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6" spans="2:7" x14ac:dyDescent="0.25">
      <c r="F26" t="s">
        <v>75</v>
      </c>
      <c r="G26" t="s">
        <v>76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 x14ac:dyDescent="0.25"/>
  <sheetData>
    <row r="1" spans="1:5" x14ac:dyDescent="0.25">
      <c r="A1" t="s">
        <v>54</v>
      </c>
      <c r="B1" t="s">
        <v>1</v>
      </c>
      <c r="C1" t="s">
        <v>2</v>
      </c>
      <c r="D1" t="s">
        <v>55</v>
      </c>
      <c r="E1" t="s">
        <v>56</v>
      </c>
    </row>
    <row r="2" spans="1:5" x14ac:dyDescent="0.25">
      <c r="A2" t="s">
        <v>57</v>
      </c>
      <c r="B2" t="s">
        <v>58</v>
      </c>
      <c r="C2" t="s">
        <v>59</v>
      </c>
      <c r="D2">
        <v>40000</v>
      </c>
      <c r="E2">
        <v>2</v>
      </c>
    </row>
    <row r="3" spans="1:5" x14ac:dyDescent="0.25">
      <c r="A3" t="s">
        <v>60</v>
      </c>
      <c r="B3" t="s">
        <v>21</v>
      </c>
      <c r="C3" t="s">
        <v>10</v>
      </c>
      <c r="D3">
        <v>75000</v>
      </c>
      <c r="E3">
        <v>5</v>
      </c>
    </row>
    <row r="4" spans="1:5" x14ac:dyDescent="0.25">
      <c r="A4" t="s">
        <v>61</v>
      </c>
      <c r="B4" t="s">
        <v>62</v>
      </c>
      <c r="C4" t="s">
        <v>10</v>
      </c>
      <c r="D4">
        <v>60000</v>
      </c>
      <c r="E4">
        <v>3</v>
      </c>
    </row>
    <row r="5" spans="1:5" x14ac:dyDescent="0.25">
      <c r="A5" t="s">
        <v>63</v>
      </c>
      <c r="B5" t="s">
        <v>27</v>
      </c>
      <c r="C5" t="s">
        <v>59</v>
      </c>
      <c r="D5">
        <v>45000</v>
      </c>
      <c r="E5">
        <v>4</v>
      </c>
    </row>
    <row r="6" spans="1:5" x14ac:dyDescent="0.25">
      <c r="A6" t="s">
        <v>64</v>
      </c>
      <c r="B6" t="s">
        <v>25</v>
      </c>
      <c r="C6" t="s">
        <v>65</v>
      </c>
      <c r="D6">
        <v>80000</v>
      </c>
      <c r="E6">
        <v>6</v>
      </c>
    </row>
    <row r="7" spans="1:5" x14ac:dyDescent="0.25">
      <c r="A7" t="s">
        <v>66</v>
      </c>
      <c r="B7" t="s">
        <v>9</v>
      </c>
      <c r="C7" t="s">
        <v>10</v>
      </c>
      <c r="D7">
        <v>72000</v>
      </c>
      <c r="E7">
        <v>4</v>
      </c>
    </row>
    <row r="8" spans="1:5" x14ac:dyDescent="0.25">
      <c r="A8" t="s">
        <v>67</v>
      </c>
      <c r="B8" t="s">
        <v>6</v>
      </c>
      <c r="C8" t="s">
        <v>65</v>
      </c>
      <c r="D8">
        <v>65000</v>
      </c>
      <c r="E8">
        <v>5</v>
      </c>
    </row>
    <row r="9" spans="1:5" x14ac:dyDescent="0.25">
      <c r="A9" t="s">
        <v>68</v>
      </c>
      <c r="B9" t="s">
        <v>14</v>
      </c>
      <c r="C9" t="s">
        <v>59</v>
      </c>
      <c r="D9">
        <v>48000</v>
      </c>
      <c r="E9">
        <v>3</v>
      </c>
    </row>
    <row r="10" spans="1:5" x14ac:dyDescent="0.25">
      <c r="A10" t="s">
        <v>69</v>
      </c>
      <c r="B10" t="s">
        <v>17</v>
      </c>
      <c r="C10" t="s">
        <v>10</v>
      </c>
      <c r="D10">
        <v>82000</v>
      </c>
      <c r="E10">
        <v>7</v>
      </c>
    </row>
    <row r="11" spans="1:5" x14ac:dyDescent="0.25">
      <c r="A11" t="s">
        <v>70</v>
      </c>
      <c r="B11" t="s">
        <v>71</v>
      </c>
      <c r="C11" t="s">
        <v>65</v>
      </c>
      <c r="D11">
        <v>90000</v>
      </c>
      <c r="E11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E1493-74C3-433D-9D85-5DB063683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 A</vt:lpstr>
      <vt:lpstr>Paper B</vt:lpstr>
      <vt:lpstr>Paper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Lab11</cp:lastModifiedBy>
  <dcterms:created xsi:type="dcterms:W3CDTF">2026-04-13T07:09:16Z</dcterms:created>
  <dcterms:modified xsi:type="dcterms:W3CDTF">2026-04-13T10:50:54Z</dcterms:modified>
</cp:coreProperties>
</file>